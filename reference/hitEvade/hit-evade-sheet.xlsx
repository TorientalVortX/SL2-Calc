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Template" sheetId="1" r:id="rId5"/>
    <sheet state="visible" name="Examp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Torso item's evade in the item description window.
Any effects that might modify this later, such as Flock, will go in Base Evade Mod.</t>
      </text>
    </comment>
    <comment authorId="0" ref="D30">
      <text>
        <t xml:space="preserve">This is the basic Hit VS Evade calculation.
Hit rate when attacking the target from the tile they are facing.</t>
      </text>
    </comment>
    <comment authorId="0" ref="A26">
      <text>
        <t xml:space="preserve">Number of damage instances per attack.
Used to show the average number of hits.</t>
      </text>
    </comment>
    <comment authorId="0" ref="D26">
      <text>
        <t xml:space="preserve">This is the basic Hit VS Evade calculation.
It doesn't include conditional bonuses from Honor or Flanking.
It'd be the hit chance when attacking a target who isn't flanked from a tile that isn't directly in front of them.</t>
      </text>
    </comment>
    <comment authorId="0" ref="D22">
      <text>
        <t xml:space="preserve">Flanking bonus to Hit when you are Behind the target, but no other allies are within 1 Range of the target.
Also applies if you attack the target from the side while another ally is within 1 Range.</t>
      </text>
    </comment>
    <comment authorId="0" ref="A18">
      <text>
        <t xml:space="preserve">Penalty to Evade when knocked down in Heavy Armor torsos.</t>
      </text>
    </comment>
    <comment authorId="0" ref="D18">
      <text>
        <t xml:space="preserve">Modifications from base multi can apply to bonus granted by the bonus multi, so this step happens here.</t>
      </text>
    </comment>
    <comment authorId="0" ref="A14">
      <text>
        <t xml:space="preserve">Value of Flanking provided per condition satisfied.
1 - If behind the target.
2 - If another allied unit is within 1 Range of target.</t>
      </text>
    </comment>
    <comment authorId="0" ref="A10">
      <text>
        <t xml:space="preserve">Maximum value applied from Bonus Hit sources.</t>
      </text>
    </comment>
    <comment authorId="0" ref="D10">
      <text>
        <t xml:space="preserve">Sum of additions to BASE Hit.
This only really applies to One Hand. Do not include Hand Hit, the sheet does that automatically.</t>
      </text>
    </comment>
    <comment authorId="0" ref="A6">
      <text>
        <t xml:space="preserve">Hit provided per 1 Scaled SKI.
</t>
      </text>
    </comment>
    <comment authorId="0" ref="E10">
      <text>
        <t xml:space="preserve">Good idea to edit this note to list your debuff values and sources.</t>
      </text>
    </comment>
    <comment authorId="0" ref="D6">
      <text>
        <t xml:space="preserve">Sum of all Hit buffs you expect to be applied. Can be higher than 50, the sheet will do the capping if needed.
Exclude Honor.</t>
      </text>
    </comment>
    <comment authorId="0" ref="H10">
      <text>
        <t xml:space="preserve">Bonuses to base Evade. This includes Dodger and Wild Gryphon Hoof, for example.
Do not include Legs Evade, the sheet does that automatically.</t>
      </text>
    </comment>
    <comment authorId="0" ref="E6">
      <text>
        <t xml:space="preserve">Good idea to edit this note to list your buff values and sources.</t>
      </text>
    </comment>
    <comment authorId="0" ref="H6">
      <text>
        <t xml:space="preserve">Total value of all Bonus Evade effects on the character, excluding field effects.
You can go over 50 if you want, the sheet will still cap it.</t>
      </text>
    </comment>
    <comment authorId="0" ref="D31">
      <text>
        <t xml:space="preserve">Hit VS Evade (Front), but with caps from Blind/etc. taken into account.</t>
      </text>
    </comment>
    <comment authorId="0" ref="A27">
      <text>
        <t xml:space="preserve">Reduction to Fear Hit penalty, if possible.
Given by Bravery talent. 48% is the max value.</t>
      </text>
    </comment>
    <comment authorId="0" ref="D27">
      <text>
        <t xml:space="preserve">Hit VS Evade (Base), but with caps from Blind/etc. taken into account.</t>
      </text>
    </comment>
    <comment authorId="0" ref="D23">
      <text>
        <t xml:space="preserve">Flanking bonus to Hit when you are behind the target and another ally is within 1 Range of the target.</t>
      </text>
    </comment>
    <comment authorId="0" ref="D19">
      <text>
        <t xml:space="preserve">We calculate how much Bonus Multi applies to Bonus Hit here, since it doesn't take into account Bonus Hit itself, only the rolling value.</t>
      </text>
    </comment>
    <comment authorId="0" ref="A15">
      <text>
        <t xml:space="preserve">The least that the attacker's Hit chance can be after all other modifiers.</t>
      </text>
    </comment>
    <comment authorId="0" ref="D15">
      <text>
        <t xml:space="preserve">Scaled SKI Hit + Weapon Hit
+ Base Hit Mod
+ Hand Hit (if One Weapon)</t>
      </text>
    </comment>
    <comment authorId="0" ref="A11">
      <text>
        <t xml:space="preserve">Maximum value applied from Bonus Evade sources.</t>
      </text>
    </comment>
    <comment authorId="0" ref="I19">
      <text>
        <t xml:space="preserve">The chance that at least 1 damage instance will hit without glancing.</t>
      </text>
    </comment>
    <comment authorId="0" ref="J19">
      <text>
        <t xml:space="preserve">The chance that at least 1 damage instance will at least glance the target.</t>
      </text>
    </comment>
    <comment authorId="0" ref="K19">
      <text>
        <t xml:space="preserve">Chance that half or more of the damage instances will hit without missing or glancing.</t>
      </text>
    </comment>
    <comment authorId="0" ref="D11">
      <text>
        <t xml:space="preserve">Multiplier applied to base hit value.
100% is default.
Only modify this if you want to account for Close Shot penalty.</t>
      </text>
    </comment>
    <comment authorId="0" ref="H15">
      <text>
        <t xml:space="preserve">CEL Evade + Armor Evade 
+ Base Evade Mod
+ Legs Evade</t>
      </text>
    </comment>
    <comment authorId="0" ref="L19">
      <text>
        <t xml:space="preserve">Chance that half or more of the damage instances will at least glance.</t>
      </text>
    </comment>
    <comment authorId="0" ref="A7">
      <text>
        <t xml:space="preserve">Evade provided per 1 Scaled CEL.
</t>
      </text>
    </comment>
    <comment authorId="0" ref="M19">
      <text>
        <t xml:space="preserve">The chance that all damage instances will hit the target without missing or glancing.</t>
      </text>
    </comment>
    <comment authorId="0" ref="N19">
      <text>
        <t xml:space="preserve">Chance that all of the damage instances will at least glance.</t>
      </text>
    </comment>
    <comment authorId="0" ref="D7">
      <text>
        <t xml:space="preserve">Sum of Hit penalties applied to your character via status effects, but not field objects.</t>
      </text>
    </comment>
    <comment authorId="0" ref="H11">
      <text>
        <t xml:space="preserve">Value applied to the total Evade.
100% by default.
Standing in Thick Brush is +10%.
Standing in Thick Vines is -10%.
Guard is -LV%.
Knocked Down's penalty also applies here, based on selected armor type.</t>
      </text>
    </comment>
    <comment authorId="0" ref="A3">
      <text>
        <t xml:space="preserve">Value bonus given for flanking by default.</t>
      </text>
    </comment>
    <comment authorId="0" ref="E7">
      <text>
        <t xml:space="preserve">Good idea to edit this note to list your debuff values and sources.</t>
      </text>
    </comment>
    <comment authorId="0" ref="H7">
      <text>
        <t xml:space="preserve">Penalties to Evade, excluding field objects.</t>
      </text>
    </comment>
    <comment authorId="0" ref="F3">
      <text>
        <t xml:space="preserve">Hit provided by SKI stat.</t>
      </text>
    </comment>
    <comment authorId="0" ref="D32">
      <text>
        <t xml:space="preserve">This is the basic Hit VS Evade calculation.
Hit rate when attacking the target from the tile they are facing.</t>
      </text>
    </comment>
    <comment authorId="0" ref="J3">
      <text>
        <t xml:space="preserve">Evade provided by CEL stat.</t>
      </text>
    </comment>
    <comment authorId="0" ref="D28">
      <text>
        <t xml:space="preserve">This is the basic Hit VS Evade calculation.
Hit rate when attacking the target from the tile they are facing.</t>
      </text>
    </comment>
    <comment authorId="0" ref="A24">
      <text>
        <t xml:space="preserve">If the attacker is Feared by the target, apply the Fear hit penalty.
Be careful not to double up on this in your Hit Debuffs.</t>
      </text>
    </comment>
    <comment authorId="0" ref="A16">
      <text>
        <t xml:space="preserve">Penalty to Evade when knocked down in Unarmored torsos.</t>
      </text>
    </comment>
    <comment authorId="0" ref="D16">
      <text>
        <t xml:space="preserve">+ Field Buffs
- Field Debuffs</t>
      </text>
    </comment>
    <comment authorId="0" ref="A12">
      <text>
        <t xml:space="preserve">Value that Hit rate is capped at if attacker is Blind.</t>
      </text>
    </comment>
    <comment authorId="0" ref="D12">
      <text>
        <t xml:space="preserve">Multiplier applied as bonus hit of total hit value. 0% default.
Enemy Evaluation applies here. Use a negative value if a penalty.</t>
      </text>
    </comment>
    <comment authorId="0" ref="H16">
      <text>
        <t xml:space="preserve">Modifications from base multi can apply to bonus granted by the bonus multi, so this step happens here.</t>
      </text>
    </comment>
    <comment authorId="0" ref="A8">
      <text>
        <t xml:space="preserve">Hit provided by Hands slot upgrades.</t>
      </text>
    </comment>
    <comment authorId="0" ref="D8">
      <text>
        <t xml:space="preserve">Hit bonus provided by field objects you are standing on and/or the target is on.
Hit bonuses from field objects DO stack additively. They are NOT subject to the bonus Hit cap.</t>
      </text>
    </comment>
    <comment authorId="0" ref="H12">
      <text>
        <t xml:space="preserve">Value of the total Evade applied as Bonus Evade. 0% by default.
Body of Isesip is -50%.
Enemy Evaluation applies here.</t>
      </text>
    </comment>
    <comment authorId="0" ref="A4">
      <text>
        <t xml:space="preserve">Increase to Flanking stat per 1 Scaled GUI.</t>
      </text>
    </comment>
    <comment authorId="0" ref="E8">
      <text>
        <t xml:space="preserve">Good idea to edit this note to list your buff values and sources.</t>
      </text>
    </comment>
    <comment authorId="0" ref="H8">
      <text>
        <t xml:space="preserve">Evade given by field object you are standing on (such as Sensui Shippu).
Note that this is a Bonus modifier, unlike Hit, and stacks!</t>
      </text>
    </comment>
    <comment authorId="0" ref="F4">
      <text>
        <t xml:space="preserve">Flanking provided by GUI stat.
Does not include Flanking Base.</t>
      </text>
    </comment>
    <comment authorId="0" ref="D33">
      <text>
        <t xml:space="preserve">Hit VS Evade (Front), but with caps from Blind/etc. taken into account.</t>
      </text>
    </comment>
    <comment authorId="0" ref="H4">
      <text>
        <t xml:space="preserve">Torso item's armor type.
Used for determining knocked down penalty.</t>
      </text>
    </comment>
    <comment authorId="0" ref="D29">
      <text>
        <t xml:space="preserve">Hit VS Evade (Front), but with caps from Blind/etc. taken into account.</t>
      </text>
    </comment>
    <comment authorId="0" ref="A25">
      <text>
        <t xml:space="preserve">If the target is knocked down.
Causes the target's evade to suffer a percentage penalty based on armor type.</t>
      </text>
    </comment>
    <comment authorId="0" ref="A21">
      <text>
        <t xml:space="preserve">If using one weapon, the game will apply Hand Hit to the base Hit value.</t>
      </text>
    </comment>
    <comment authorId="0" ref="D21">
      <text>
        <t xml:space="preserve">Provides Honor as Bonus Hit, if we can spare any more Bonus Hit.</t>
      </text>
    </comment>
    <comment authorId="0" ref="A17">
      <text>
        <t xml:space="preserve">Penalty to Evade when knocked down in Light Armor torsos.</t>
      </text>
    </comment>
    <comment authorId="0" ref="D17">
      <text>
        <t xml:space="preserve">Broken weapon modifier applies here, if relevant.</t>
      </text>
    </comment>
    <comment authorId="0" ref="A13">
      <text>
        <t xml:space="preserve">Hit penalty applied when you are Feared by the attack target.</t>
      </text>
    </comment>
    <comment authorId="0" ref="H17">
      <text>
        <t xml:space="preserve">Bonus from Bonus Multi is calculated first, then
+ Evade Buffs
- Evade Debuffs
+ Field Buffs
- Field Debuffs</t>
      </text>
    </comment>
    <comment authorId="0" ref="A9">
      <text>
        <t xml:space="preserve">Evade provided by Legs slot upgrades.</t>
      </text>
    </comment>
    <comment authorId="0" ref="D9">
      <text>
        <t xml:space="preserve">Hit penalty given by tiles you are standing on or your attack target is on. Use a positive value.
Only the strongest applies!</t>
      </text>
    </comment>
    <comment authorId="0" ref="A5">
      <text>
        <t xml:space="preserve">Bonus Hit provided for frontal attacks by the Honor talent, at max SR.</t>
      </text>
    </comment>
    <comment authorId="0" ref="E9">
      <text>
        <t xml:space="preserve">Good idea to edit this note to list your debuff values and sources.</t>
      </text>
    </comment>
    <comment authorId="0" ref="D5">
      <text>
        <t xml:space="preserve">Hit value of the weapon in the item description window.</t>
      </text>
    </comment>
    <comment authorId="0" ref="H9">
      <text>
        <t xml:space="preserve">Penalty to Evade given by field object you are standing on.
Note that this is a Bonus modifier, unlike Hit, and stacks!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Torso item's evade in the item description window.
Any effects that might modify this later, such as Flock, will go in Base Evade Mod.</t>
      </text>
    </comment>
    <comment authorId="0" ref="D30">
      <text>
        <t xml:space="preserve">This is the basic Hit VS Evade calculation.
Hit rate when attacking the target from the tile they are facing.</t>
      </text>
    </comment>
    <comment authorId="0" ref="A26">
      <text>
        <t xml:space="preserve">Number of damage instances per attack.
Used to show the average number of hits.</t>
      </text>
    </comment>
    <comment authorId="0" ref="D26">
      <text>
        <t xml:space="preserve">This is the basic Hit VS Evade calculation.
It doesn't include conditional bonuses from Honor or Flanking.
It'd be the hit chance when attacking a target who isn't flanked from a tile that isn't directly in front of them.</t>
      </text>
    </comment>
    <comment authorId="0" ref="D22">
      <text>
        <t xml:space="preserve">Flanking bonus to Hit when you are Behind the target, but no other allies are within 1 Range of the target.
Also applies if you attack the target from the side while another ally is within 1 Range.</t>
      </text>
    </comment>
    <comment authorId="0" ref="A18">
      <text>
        <t xml:space="preserve">Penalty to Evade when knocked down in Heavy Armor torsos.</t>
      </text>
    </comment>
    <comment authorId="0" ref="D18">
      <text>
        <t xml:space="preserve">Modifications from base multi can apply to bonus granted by the bonus multi, so this step happens here.</t>
      </text>
    </comment>
    <comment authorId="0" ref="A14">
      <text>
        <t xml:space="preserve">Value of Flanking provided per condition satisfied.
1 - If behind the target.
2 - If another allied unit is within 1 Range of target.</t>
      </text>
    </comment>
    <comment authorId="0" ref="A10">
      <text>
        <t xml:space="preserve">Maximum value applied from Bonus Hit sources.</t>
      </text>
    </comment>
    <comment authorId="0" ref="D10">
      <text>
        <t xml:space="preserve">Sum of additions to BASE Hit.
This only really applies to One Hand. Do not include Hand Hit, the sheet does that automatically.</t>
      </text>
    </comment>
    <comment authorId="0" ref="A6">
      <text>
        <t xml:space="preserve">Hit provided per 1 Scaled SKI.
</t>
      </text>
    </comment>
    <comment authorId="0" ref="E10">
      <text>
        <t xml:space="preserve">Good idea to edit this note to list your debuff values and sources.</t>
      </text>
    </comment>
    <comment authorId="0" ref="D6">
      <text>
        <t xml:space="preserve">Sum of all Hit buffs you expect to be applied. Can be higher than 50, the sheet will do the capping if needed.
Exclude Honor.</t>
      </text>
    </comment>
    <comment authorId="0" ref="H10">
      <text>
        <t xml:space="preserve">Bonuses to base Evade. This includes Dodger and Wild Gryphon Hoof, for example.
Do not include Legs Evade, the sheet does that automatically.</t>
      </text>
    </comment>
    <comment authorId="0" ref="E6">
      <text>
        <t xml:space="preserve">Upgrade (Launcher)</t>
      </text>
    </comment>
    <comment authorId="0" ref="H6">
      <text>
        <t xml:space="preserve">Total value of all Bonus Evade effects on the character, excluding field effects.
You can go over 50 if you want, the sheet will still cap it.</t>
      </text>
    </comment>
    <comment authorId="0" ref="I6">
      <text>
        <t xml:space="preserve">+15 Miragewalk
+15 Feather Veil</t>
      </text>
    </comment>
    <comment authorId="0" ref="D31">
      <text>
        <t xml:space="preserve">Hit VS Evade (Front), but with caps from Blind/etc. taken into account.</t>
      </text>
    </comment>
    <comment authorId="0" ref="A27">
      <text>
        <t xml:space="preserve">Reduction to Fear Hit penalty, if possible.
Given by Bravery talent. 48% is the max value.</t>
      </text>
    </comment>
    <comment authorId="0" ref="D27">
      <text>
        <t xml:space="preserve">Hit VS Evade (Base), but with caps from Blind/etc. taken into account.</t>
      </text>
    </comment>
    <comment authorId="0" ref="D23">
      <text>
        <t xml:space="preserve">Flanking bonus to Hit when you are behind the target and another ally is within 1 Range of the target.</t>
      </text>
    </comment>
    <comment authorId="0" ref="D19">
      <text>
        <t xml:space="preserve">We calculate how much Bonus Multi applies to Bonus Hit here, since it doesn't take into account Bonus Hit itself, only the rolling value.</t>
      </text>
    </comment>
    <comment authorId="0" ref="A15">
      <text>
        <t xml:space="preserve">The least that the attacker's Hit chance can be after all other modifiers.</t>
      </text>
    </comment>
    <comment authorId="0" ref="D15">
      <text>
        <t xml:space="preserve">Scaled SKI Hit + Weapon Hit
+ Base Hit Mod
+ Hand Hit (if One Weapon)</t>
      </text>
    </comment>
    <comment authorId="0" ref="A11">
      <text>
        <t xml:space="preserve">Maximum value applied from Bonus Evade sources.</t>
      </text>
    </comment>
    <comment authorId="0" ref="I19">
      <text>
        <t xml:space="preserve">The chance that at least 1 damage instant will hit without glancing.</t>
      </text>
    </comment>
    <comment authorId="0" ref="J19">
      <text>
        <t xml:space="preserve">The chance that at least 1 damage instance will at least glance the target.</t>
      </text>
    </comment>
    <comment authorId="0" ref="K19">
      <text>
        <t xml:space="preserve">Chance that half or more of the damage instances will hit without missing or glancing.</t>
      </text>
    </comment>
    <comment authorId="0" ref="D11">
      <text>
        <t xml:space="preserve">Multiplier applied to base hit value.
100% is default.
Only modify this if you want to account for Close Shot penalty.</t>
      </text>
    </comment>
    <comment authorId="0" ref="H15">
      <text>
        <t xml:space="preserve">CEL Evade + Armor Evade 
+ Base Evade Mod
+ Legs Evade</t>
      </text>
    </comment>
    <comment authorId="0" ref="L19">
      <text>
        <t xml:space="preserve">Chance that half or more of the damage instances will at least glance.</t>
      </text>
    </comment>
    <comment authorId="0" ref="A7">
      <text>
        <t xml:space="preserve">Evade provided per 1 Scaled CEL.
</t>
      </text>
    </comment>
    <comment authorId="0" ref="M19">
      <text>
        <t xml:space="preserve">The chance that all damage instances will hit the target without missing or glancing.</t>
      </text>
    </comment>
    <comment authorId="0" ref="N19">
      <text>
        <t xml:space="preserve">Chance that all of the damage instances will at least glance.</t>
      </text>
    </comment>
    <comment authorId="0" ref="D7">
      <text>
        <t xml:space="preserve">Sum of Hit penalties applied to your character via status effects, but not field objects.</t>
      </text>
    </comment>
    <comment authorId="0" ref="H11">
      <text>
        <t xml:space="preserve">Value applied to the total Evade.
100% by default.
Standing in Thick Brush is +10%.
Standing in Thick Vines is -10%.
Guard is -LV%.
Knocked Down's penalty also applies here, based on selected armor type.</t>
      </text>
    </comment>
    <comment authorId="0" ref="A3">
      <text>
        <t xml:space="preserve">Value bonus given for flanking by default.</t>
      </text>
    </comment>
    <comment authorId="0" ref="E7">
      <text>
        <t xml:space="preserve">Good idea to edit this note to list your debuff values and sources.</t>
      </text>
    </comment>
    <comment authorId="0" ref="H7">
      <text>
        <t xml:space="preserve">Penalties to Evade, excluding field objects.</t>
      </text>
    </comment>
    <comment authorId="0" ref="I7">
      <text>
        <t xml:space="preserve">Glowing LV 15</t>
      </text>
    </comment>
    <comment authorId="0" ref="F3">
      <text>
        <t xml:space="preserve">Hit provided by SKI stat.</t>
      </text>
    </comment>
    <comment authorId="0" ref="D32">
      <text>
        <t xml:space="preserve">This is the basic Hit VS Evade calculation.
Hit rate when attacking the target from the tile they are facing.</t>
      </text>
    </comment>
    <comment authorId="0" ref="J3">
      <text>
        <t xml:space="preserve">Evade provided by CEL stat.</t>
      </text>
    </comment>
    <comment authorId="0" ref="D28">
      <text>
        <t xml:space="preserve">This is the basic Hit VS Evade calculation.
Hit rate when attacking the target from the tile they are facing.</t>
      </text>
    </comment>
    <comment authorId="0" ref="A24">
      <text>
        <t xml:space="preserve">If the attacker is Feared by the target, apply the Fear hit penalty.
Be careful not to double up on this in your Hit Debuffs.</t>
      </text>
    </comment>
    <comment authorId="0" ref="A16">
      <text>
        <t xml:space="preserve">Penalty to Evade when knocked down in Unarmored torsos.</t>
      </text>
    </comment>
    <comment authorId="0" ref="D16">
      <text>
        <t xml:space="preserve">+ Field Buffs
- Field Debuffs</t>
      </text>
    </comment>
    <comment authorId="0" ref="A12">
      <text>
        <t xml:space="preserve">Value that Hit rate is capped at if attacker is Blind.</t>
      </text>
    </comment>
    <comment authorId="0" ref="D12">
      <text>
        <t xml:space="preserve">Multiplier applied as bonus hit of total hit value. 0% default.
Enemy Evaluation applies here. Use a negative value if a penalty.</t>
      </text>
    </comment>
    <comment authorId="0" ref="H16">
      <text>
        <t xml:space="preserve">Modifications from base multi can apply to bonus granted by the bonus multi, so this step happens here.</t>
      </text>
    </comment>
    <comment authorId="0" ref="A8">
      <text>
        <t xml:space="preserve">Hit provided by Hands slot upgrades.</t>
      </text>
    </comment>
    <comment authorId="0" ref="D8">
      <text>
        <t xml:space="preserve">Hit bonus provided by field objects you are standing on and/or the target is on.
Hit bonuses from field objects DO stack additively. They are NOT subject to the bonus Hit cap.</t>
      </text>
    </comment>
    <comment authorId="0" ref="H12">
      <text>
        <t xml:space="preserve">Value of the total Evade applied as Bonus Evade. 0% by default.
Body of Isesip is -50%.
Enemy Evaluation applies here.</t>
      </text>
    </comment>
    <comment authorId="0" ref="A4">
      <text>
        <t xml:space="preserve">Increase to Flanking stat per 1 Scaled GUI.</t>
      </text>
    </comment>
    <comment authorId="0" ref="E8">
      <text>
        <t xml:space="preserve">Good idea to edit this note to list your buff values and sources.</t>
      </text>
    </comment>
    <comment authorId="0" ref="H8">
      <text>
        <t xml:space="preserve">Evade given by field object you are standing on (such as Sensui Shippu).
Note that this is a Bonus modifier, unlike Hit, and stacks!</t>
      </text>
    </comment>
    <comment authorId="0" ref="F4">
      <text>
        <t xml:space="preserve">Flanking provided by GUI stat.
Does not include Flanking Base.</t>
      </text>
    </comment>
    <comment authorId="0" ref="D33">
      <text>
        <t xml:space="preserve">Hit VS Evade (Front), but with caps from Blind/etc. taken into account.</t>
      </text>
    </comment>
    <comment authorId="0" ref="H4">
      <text>
        <t xml:space="preserve">Torso item's armor type.
Used for determining knocked down penalty.</t>
      </text>
    </comment>
    <comment authorId="0" ref="D29">
      <text>
        <t xml:space="preserve">Hit VS Evade (Front), but with caps from Blind/etc. taken into account.</t>
      </text>
    </comment>
    <comment authorId="0" ref="A25">
      <text>
        <t xml:space="preserve">If the target is knocked down.
Causes the target's evade to suffer a percentage penalty based on armor type.</t>
      </text>
    </comment>
    <comment authorId="0" ref="A21">
      <text>
        <t xml:space="preserve">If using one weapon, the game will apply Hand Hit to the base Hit value.</t>
      </text>
    </comment>
    <comment authorId="0" ref="D21">
      <text>
        <t xml:space="preserve">Provides Honor as Bonus Hit, if we can spare any more Bonus Hit.</t>
      </text>
    </comment>
    <comment authorId="0" ref="A17">
      <text>
        <t xml:space="preserve">Penalty to Evade when knocked down in Light Armor torsos.</t>
      </text>
    </comment>
    <comment authorId="0" ref="D17">
      <text>
        <t xml:space="preserve">Broken weapon modifier applies here, if relevant.</t>
      </text>
    </comment>
    <comment authorId="0" ref="A13">
      <text>
        <t xml:space="preserve">Hit penalty applied when you are Feared by the attack target.</t>
      </text>
    </comment>
    <comment authorId="0" ref="H17">
      <text>
        <t xml:space="preserve">Bonus from Bonus Multi is calculated first, then
+ Evade Buffs
- Evade Debuffs
+ Field Buffs
- Field Debuffs</t>
      </text>
    </comment>
    <comment authorId="0" ref="A9">
      <text>
        <t xml:space="preserve">Evade provided by Legs slot upgrades.</t>
      </text>
    </comment>
    <comment authorId="0" ref="D9">
      <text>
        <t xml:space="preserve">Hit penalty given by tiles you are standing on or your attack target is on. Use a positive value.
Only the strongest applies!</t>
      </text>
    </comment>
    <comment authorId="0" ref="A5">
      <text>
        <t xml:space="preserve">Bonus Hit provided for frontal attacks by the Honor talent, at max SR.</t>
      </text>
    </comment>
    <comment authorId="0" ref="E9">
      <text>
        <t xml:space="preserve">Good idea to edit this note to list your debuff values and sources.</t>
      </text>
    </comment>
    <comment authorId="0" ref="D5">
      <text>
        <t xml:space="preserve">Hit value of the weapon in the item description window.</t>
      </text>
    </comment>
    <comment authorId="0" ref="H9">
      <text>
        <t xml:space="preserve">Penalty to Evade given by field object you are standing on.
Note that this is a Bonus modifier, unlike Hit, and stacks!</t>
      </text>
    </comment>
  </commentList>
</comments>
</file>

<file path=xl/sharedStrings.xml><?xml version="1.0" encoding="utf-8"?>
<sst xmlns="http://schemas.openxmlformats.org/spreadsheetml/2006/main" count="210" uniqueCount="92">
  <si>
    <t>System Rules</t>
  </si>
  <si>
    <t>Attacker Stats</t>
  </si>
  <si>
    <t>Value</t>
  </si>
  <si>
    <t>Converted</t>
  </si>
  <si>
    <t>Target Stats</t>
  </si>
  <si>
    <t>Instructions</t>
  </si>
  <si>
    <t>Flanking Base</t>
  </si>
  <si>
    <t>Scaled SKI</t>
  </si>
  <si>
    <t>Scaled CEL</t>
  </si>
  <si>
    <t>You only need to edit the following things (sheet does the rest):</t>
  </si>
  <si>
    <t>Flanking Per GUI</t>
  </si>
  <si>
    <t>Scaled GUI</t>
  </si>
  <si>
    <t>Armor Type</t>
  </si>
  <si>
    <t>Unarmored</t>
  </si>
  <si>
    <t>1) Attacker Stats section to reflect the stats of the attacker, including buffs/debuffs.</t>
  </si>
  <si>
    <t>Honor Hit Bonus</t>
  </si>
  <si>
    <t>Weapon Hit</t>
  </si>
  <si>
    <t>Armor Evade</t>
  </si>
  <si>
    <t>2) Target Stats section to reflect the stats of the defender, including buffs/debuffs.</t>
  </si>
  <si>
    <t>Hit Per SKI</t>
  </si>
  <si>
    <t>Hit Buffs</t>
  </si>
  <si>
    <t>Evade Buffs</t>
  </si>
  <si>
    <t>3) Options settings to reflect your common conditionals.</t>
  </si>
  <si>
    <t>Evade Per CEL</t>
  </si>
  <si>
    <t>Hit Debuffs</t>
  </si>
  <si>
    <t>Evade Debuffs</t>
  </si>
  <si>
    <t>* Basics for Fists, damage instances are 2. For Guns, they are the number of rounds.</t>
  </si>
  <si>
    <t>Hand Hit</t>
  </si>
  <si>
    <t>Field Buffs</t>
  </si>
  <si>
    <t>Legs Evade</t>
  </si>
  <si>
    <t>Field Debuffs</t>
  </si>
  <si>
    <t>Mouse over sections with a triangle in the top right to view its notes.</t>
  </si>
  <si>
    <t>Bonus Hit Cap</t>
  </si>
  <si>
    <t>Base Hit Mod</t>
  </si>
  <si>
    <t>Base Evade Mod</t>
  </si>
  <si>
    <t>Add a note to a value by right-clicking the cell and clicking insert note.</t>
  </si>
  <si>
    <t>Bonus Evade Cap</t>
  </si>
  <si>
    <t>Base Multi</t>
  </si>
  <si>
    <t>* If it already has a note, mouse over it and edit the text field that appears.</t>
  </si>
  <si>
    <t>Blind Cap</t>
  </si>
  <si>
    <t>Bonus Multi</t>
  </si>
  <si>
    <t>Fear</t>
  </si>
  <si>
    <r>
      <rPr>
        <rFont val="Arial"/>
        <color theme="1"/>
      </rPr>
      <t xml:space="preserve">Click </t>
    </r>
    <r>
      <rPr>
        <rFont val="Arial"/>
        <b/>
        <color theme="1"/>
      </rPr>
      <t>File</t>
    </r>
    <r>
      <rPr>
        <rFont val="Arial"/>
        <color theme="1"/>
      </rPr>
      <t xml:space="preserve"> and </t>
    </r>
    <r>
      <rPr>
        <rFont val="Arial"/>
        <b/>
        <color theme="1"/>
      </rPr>
      <t>Make a Copy</t>
    </r>
    <r>
      <rPr>
        <rFont val="Arial"/>
        <color theme="1"/>
      </rPr>
      <t xml:space="preserve"> to edit the sheet.</t>
    </r>
  </si>
  <si>
    <r>
      <rPr>
        <rFont val="Arial"/>
        <color theme="1"/>
      </rPr>
      <t xml:space="preserve">Click </t>
    </r>
    <r>
      <rPr>
        <rFont val="Arial"/>
        <b/>
        <color theme="1"/>
      </rPr>
      <t>File</t>
    </r>
    <r>
      <rPr>
        <rFont val="Arial"/>
        <color theme="1"/>
      </rPr>
      <t xml:space="preserve"> and </t>
    </r>
    <r>
      <rPr>
        <rFont val="Arial"/>
        <b/>
        <color theme="1"/>
      </rPr>
      <t>Make a Copy</t>
    </r>
    <r>
      <rPr>
        <rFont val="Arial"/>
        <color theme="1"/>
      </rPr>
      <t xml:space="preserve"> to edit the sheet.</t>
    </r>
  </si>
  <si>
    <t>Flank Conditionals</t>
  </si>
  <si>
    <t>Attacker Hit Rate</t>
  </si>
  <si>
    <t>Step</t>
  </si>
  <si>
    <t>Result</t>
  </si>
  <si>
    <t>Target Evade Rate</t>
  </si>
  <si>
    <r>
      <rPr>
        <rFont val="Arial"/>
        <color theme="1"/>
      </rPr>
      <t xml:space="preserve">Highly recommended you click the arrow next to </t>
    </r>
    <r>
      <rPr>
        <rFont val="Arial"/>
        <b/>
        <color theme="1"/>
      </rPr>
      <t>Sheet Template</t>
    </r>
    <r>
      <rPr>
        <rFont val="Arial"/>
        <color theme="1"/>
      </rPr>
      <t xml:space="preserve"> and </t>
    </r>
    <r>
      <rPr>
        <rFont val="Arial"/>
        <b/>
        <color theme="1"/>
      </rPr>
      <t xml:space="preserve">Duplicate </t>
    </r>
    <r>
      <rPr>
        <rFont val="Arial"/>
        <color theme="1"/>
      </rPr>
      <t>it.</t>
    </r>
  </si>
  <si>
    <r>
      <rPr>
        <rFont val="Arial"/>
        <color theme="1"/>
      </rPr>
      <t xml:space="preserve">Highly recommended you click the arrow next to </t>
    </r>
    <r>
      <rPr>
        <rFont val="Arial"/>
        <b/>
        <color theme="1"/>
      </rPr>
      <t>Sheet Template</t>
    </r>
    <r>
      <rPr>
        <rFont val="Arial"/>
        <color theme="1"/>
      </rPr>
      <t xml:space="preserve"> and </t>
    </r>
    <r>
      <rPr>
        <rFont val="Arial"/>
        <b/>
        <color theme="1"/>
      </rPr>
      <t xml:space="preserve">Duplicate </t>
    </r>
    <r>
      <rPr>
        <rFont val="Arial"/>
        <color theme="1"/>
      </rPr>
      <t>it.</t>
    </r>
  </si>
  <si>
    <t>Minimum Hit Chance</t>
  </si>
  <si>
    <t>Base Hit</t>
  </si>
  <si>
    <t>Base Evade</t>
  </si>
  <si>
    <t>Unarmored KD</t>
  </si>
  <si>
    <t>Field Modifier</t>
  </si>
  <si>
    <t>Light Armor KD</t>
  </si>
  <si>
    <t>Broken Weapon</t>
  </si>
  <si>
    <t>Bonus Evade</t>
  </si>
  <si>
    <t>Heavy Armor KD</t>
  </si>
  <si>
    <t>Bonus Hit</t>
  </si>
  <si>
    <t>Results</t>
  </si>
  <si>
    <t>1+ Hits</t>
  </si>
  <si>
    <t>1+ Glances</t>
  </si>
  <si>
    <t>Half+ Hits</t>
  </si>
  <si>
    <t>Half+ Glances</t>
  </si>
  <si>
    <t>All Hit</t>
  </si>
  <si>
    <t>All Glance+</t>
  </si>
  <si>
    <t>Options</t>
  </si>
  <si>
    <t>Extra Conditionals</t>
  </si>
  <si>
    <t>Base</t>
  </si>
  <si>
    <t>One Weapon</t>
  </si>
  <si>
    <t>Front Attack</t>
  </si>
  <si>
    <t>Front</t>
  </si>
  <si>
    <t>Flanking (1 Condition)</t>
  </si>
  <si>
    <t>Flank 1</t>
  </si>
  <si>
    <t>Blind</t>
  </si>
  <si>
    <t>Flanking (2 Conditions)</t>
  </si>
  <si>
    <t>Flank 2</t>
  </si>
  <si>
    <t>Knocked Down</t>
  </si>
  <si>
    <t>Final Calculations</t>
  </si>
  <si>
    <t>Hit Chance</t>
  </si>
  <si>
    <t>Damage Instances</t>
  </si>
  <si>
    <t>Hit VS Evade (Base)</t>
  </si>
  <si>
    <t>Fear Resistance</t>
  </si>
  <si>
    <t>Hit Caps (Base)</t>
  </si>
  <si>
    <t>Hit VS Evade (Front)</t>
  </si>
  <si>
    <t>Hit Caps (Front)</t>
  </si>
  <si>
    <t>Hit VS Evade (Flank 1)</t>
  </si>
  <si>
    <t>Hit Caps (Flank 1)</t>
  </si>
  <si>
    <t>Hit VS Evade (Flank 2)</t>
  </si>
  <si>
    <t>Hit Caps (Flank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</si>
</sst>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3F3F3"/>
      <name val="Arial"/>
      <scheme val="minor"/>
    </font>
    <font>
      <color theme="1"/>
      <name val="Arial"/>
      <scheme val="minor"/>
    </font>
    <font>
      <b/>
      <color rgb="FFF3F3F3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Border="1" applyFill="1" applyFont="1"/>
    <xf borderId="1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4" fillId="5" fontId="4" numFmtId="0" xfId="0" applyAlignment="1" applyBorder="1" applyFill="1" applyFont="1">
      <alignment readingOrder="0"/>
    </xf>
    <xf borderId="5" fillId="5" fontId="2" numFmtId="0" xfId="0" applyBorder="1" applyFill="1" applyFont="1"/>
    <xf borderId="6" fillId="5" fontId="2" numFmtId="0" xfId="0" applyBorder="1" applyFill="1" applyFont="1"/>
    <xf borderId="7" fillId="6" fontId="2" numFmtId="0" xfId="0" applyAlignment="1" applyBorder="1" applyFill="1" applyFont="1">
      <alignment horizontal="center" readingOrder="0"/>
    </xf>
    <xf borderId="7" fillId="6" fontId="2" numFmtId="0" xfId="0" applyAlignment="1" applyBorder="1" applyFill="1" applyFont="1">
      <alignment readingOrder="0"/>
    </xf>
    <xf borderId="0" fillId="7" fontId="2" numFmtId="0" xfId="0" applyAlignment="1" applyFill="1" applyFont="1">
      <alignment horizontal="center" readingOrder="0"/>
    </xf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8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/>
    </xf>
    <xf borderId="8" fillId="9" fontId="2" numFmtId="0" xfId="0" applyAlignment="1" applyBorder="1" applyFill="1" applyFont="1">
      <alignment readingOrder="0"/>
    </xf>
    <xf borderId="0" fillId="9" fontId="2" numFmtId="0" xfId="0" applyFill="1" applyFont="1"/>
    <xf borderId="9" fillId="9" fontId="2" numFmtId="0" xfId="0" applyBorder="1" applyFill="1" applyFont="1"/>
    <xf borderId="10" fillId="6" fontId="2" numFmtId="0" xfId="0" applyAlignment="1" applyBorder="1" applyFill="1" applyFont="1">
      <alignment horizontal="center" readingOrder="0"/>
    </xf>
    <xf borderId="10" fillId="6" fontId="2" numFmtId="0" xfId="0" applyAlignment="1" applyBorder="1" applyFill="1" applyFon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Fill="1" applyFont="1"/>
    <xf borderId="8" fillId="9" fontId="5" numFmtId="0" xfId="0" applyAlignment="1" applyBorder="1" applyFill="1" applyFont="1">
      <alignment readingOrder="0"/>
    </xf>
    <xf borderId="8" fillId="9" fontId="2" numFmtId="0" xfId="0" applyBorder="1" applyFill="1" applyFont="1"/>
    <xf borderId="0" fillId="7" fontId="2" numFmtId="10" xfId="0" applyAlignment="1" applyFill="1" applyFont="1" applyNumberFormat="1">
      <alignment readingOrder="0"/>
    </xf>
    <xf borderId="0" fillId="8" fontId="2" numFmtId="9" xfId="0" applyAlignment="1" applyFill="1" applyFont="1" applyNumberFormat="1">
      <alignment readingOrder="0"/>
    </xf>
    <xf borderId="7" fillId="6" fontId="2" numFmtId="10" xfId="0" applyAlignment="1" applyBorder="1" applyFill="1" applyFont="1" applyNumberFormat="1">
      <alignment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11" fillId="9" fontId="2" numFmtId="0" xfId="0" applyAlignment="1" applyBorder="1" applyFill="1" applyFont="1">
      <alignment readingOrder="0"/>
    </xf>
    <xf borderId="12" fillId="9" fontId="2" numFmtId="0" xfId="0" applyBorder="1" applyFill="1" applyFont="1"/>
    <xf borderId="13" fillId="9" fontId="2" numFmtId="0" xfId="0" applyBorder="1" applyFill="1" applyFont="1"/>
    <xf borderId="7" fillId="6" fontId="2" numFmtId="4" xfId="0" applyAlignment="1" applyBorder="1" applyFill="1" applyFont="1" applyNumberFormat="1">
      <alignment readingOrder="0"/>
    </xf>
    <xf borderId="0" fillId="12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/>
    </xf>
    <xf borderId="0" fillId="13" fontId="2" numFmtId="0" xfId="0" applyAlignment="1" applyFill="1" applyFont="1">
      <alignment horizontal="center" readingOrder="0"/>
    </xf>
    <xf borderId="0" fillId="13" fontId="2" numFmtId="0" xfId="0" applyAlignment="1" applyFill="1" applyFont="1">
      <alignment horizontal="center"/>
    </xf>
    <xf borderId="0" fillId="12" fontId="2" numFmtId="0" xfId="0" applyFill="1" applyFont="1"/>
    <xf borderId="0" fillId="12" fontId="2" numFmtId="0" xfId="0" applyAlignment="1" applyFill="1" applyFont="1">
      <alignment readingOrder="0"/>
    </xf>
    <xf borderId="0" fillId="14" fontId="3" numFmtId="0" xfId="0" applyAlignment="1" applyFill="1" applyFont="1">
      <alignment horizontal="center" readingOrder="0"/>
    </xf>
    <xf borderId="0" fillId="4" fontId="2" numFmtId="0" xfId="0" applyFill="1" applyFont="1"/>
    <xf borderId="0" fillId="15" fontId="2" numFmtId="0" xfId="0" applyAlignment="1" applyFill="1" applyFont="1">
      <alignment horizontal="center" readingOrder="0"/>
    </xf>
    <xf borderId="0" fillId="15" fontId="2" numFmtId="10" xfId="0" applyAlignment="1" applyFill="1" applyFont="1" applyNumberFormat="1">
      <alignment horizontal="center"/>
    </xf>
    <xf borderId="0" fillId="15" fontId="2" numFmtId="10" xfId="0" applyFill="1" applyFont="1" applyNumberFormat="1"/>
    <xf borderId="0" fillId="15" fontId="2" numFmtId="10" xfId="0" applyAlignment="1" applyFill="1" applyFont="1" applyNumberFormat="1">
      <alignment readingOrder="0"/>
    </xf>
    <xf borderId="0" fillId="16" fontId="3" numFmtId="0" xfId="0" applyAlignment="1" applyFill="1" applyFont="1">
      <alignment horizontal="center" readingOrder="0"/>
    </xf>
    <xf borderId="0" fillId="17" fontId="2" numFmtId="0" xfId="0" applyAlignment="1" applyFill="1" applyFont="1">
      <alignment horizontal="center" readingOrder="0"/>
    </xf>
    <xf borderId="0" fillId="17" fontId="2" numFmtId="0" xfId="0" applyAlignment="1" applyFill="1" applyFont="1">
      <alignment horizontal="center"/>
    </xf>
    <xf borderId="0" fillId="8" fontId="2" numFmtId="10" xfId="0" applyAlignment="1" applyFill="1" applyFont="1" applyNumberFormat="1">
      <alignment horizontal="center" readingOrder="0"/>
    </xf>
    <xf borderId="0" fillId="17" fontId="2" numFmtId="4" xfId="0" applyAlignment="1" applyFill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8.38"/>
    <col customWidth="1" min="4" max="4" width="18.5"/>
    <col customWidth="1" min="5" max="5" width="11.5"/>
    <col customWidth="1" min="8" max="8" width="18.63"/>
  </cols>
  <sheetData>
    <row r="2">
      <c r="A2" s="1" t="s">
        <v>0</v>
      </c>
      <c r="B2" s="2"/>
      <c r="D2" s="3" t="s">
        <v>1</v>
      </c>
      <c r="E2" s="4" t="s">
        <v>2</v>
      </c>
      <c r="F2" s="5" t="s">
        <v>3</v>
      </c>
      <c r="H2" s="6" t="s">
        <v>4</v>
      </c>
      <c r="I2" s="6" t="s">
        <v>2</v>
      </c>
      <c r="J2" s="6" t="s">
        <v>3</v>
      </c>
      <c r="L2" s="7" t="s">
        <v>5</v>
      </c>
      <c r="M2" s="8"/>
      <c r="N2" s="8"/>
      <c r="O2" s="8"/>
      <c r="P2" s="9"/>
    </row>
    <row r="3">
      <c r="A3" s="10" t="s">
        <v>6</v>
      </c>
      <c r="B3" s="11">
        <v>5.0</v>
      </c>
      <c r="D3" s="12" t="s">
        <v>7</v>
      </c>
      <c r="E3" s="13">
        <v>1.0</v>
      </c>
      <c r="F3" s="14">
        <f>E3*B6</f>
        <v>2</v>
      </c>
      <c r="H3" s="15" t="s">
        <v>8</v>
      </c>
      <c r="I3" s="15">
        <v>1.0</v>
      </c>
      <c r="J3" s="16">
        <f>I3*B7</f>
        <v>2</v>
      </c>
      <c r="L3" s="17" t="s">
        <v>9</v>
      </c>
      <c r="M3" s="18"/>
      <c r="N3" s="18"/>
      <c r="O3" s="18"/>
      <c r="P3" s="19"/>
    </row>
    <row r="4">
      <c r="A4" s="20" t="s">
        <v>10</v>
      </c>
      <c r="B4" s="21">
        <v>0.5</v>
      </c>
      <c r="D4" s="12" t="s">
        <v>11</v>
      </c>
      <c r="E4" s="13">
        <v>1.0</v>
      </c>
      <c r="F4" s="14">
        <f>E4*B4</f>
        <v>0.5</v>
      </c>
      <c r="H4" s="15" t="s">
        <v>12</v>
      </c>
      <c r="I4" s="15" t="s">
        <v>13</v>
      </c>
      <c r="J4" s="16"/>
      <c r="L4" s="17" t="s">
        <v>14</v>
      </c>
      <c r="M4" s="18"/>
      <c r="N4" s="18"/>
      <c r="O4" s="18"/>
      <c r="P4" s="19"/>
    </row>
    <row r="5">
      <c r="A5" s="20" t="s">
        <v>15</v>
      </c>
      <c r="B5" s="21">
        <v>15.0</v>
      </c>
      <c r="D5" s="12" t="s">
        <v>16</v>
      </c>
      <c r="E5" s="13">
        <v>80.0</v>
      </c>
      <c r="F5" s="14"/>
      <c r="H5" s="15" t="s">
        <v>17</v>
      </c>
      <c r="I5" s="22">
        <v>0.0</v>
      </c>
      <c r="J5" s="23"/>
      <c r="L5" s="17" t="s">
        <v>18</v>
      </c>
      <c r="M5" s="18"/>
      <c r="N5" s="18"/>
      <c r="O5" s="18"/>
      <c r="P5" s="19"/>
    </row>
    <row r="6">
      <c r="A6" s="20" t="s">
        <v>19</v>
      </c>
      <c r="B6" s="21">
        <v>2.0</v>
      </c>
      <c r="D6" s="12" t="s">
        <v>20</v>
      </c>
      <c r="E6" s="13">
        <v>0.0</v>
      </c>
      <c r="F6" s="14"/>
      <c r="H6" s="15" t="s">
        <v>21</v>
      </c>
      <c r="I6" s="22">
        <v>0.0</v>
      </c>
      <c r="J6" s="23"/>
      <c r="L6" s="17" t="s">
        <v>22</v>
      </c>
      <c r="M6" s="18"/>
      <c r="N6" s="18"/>
      <c r="O6" s="18"/>
      <c r="P6" s="19"/>
    </row>
    <row r="7">
      <c r="A7" s="20" t="s">
        <v>23</v>
      </c>
      <c r="B7" s="21">
        <v>2.0</v>
      </c>
      <c r="D7" s="12" t="s">
        <v>24</v>
      </c>
      <c r="E7" s="13">
        <v>0.0</v>
      </c>
      <c r="F7" s="14"/>
      <c r="H7" s="15" t="s">
        <v>25</v>
      </c>
      <c r="I7" s="22">
        <v>0.0</v>
      </c>
      <c r="J7" s="23"/>
      <c r="L7" s="24" t="s">
        <v>26</v>
      </c>
      <c r="M7" s="18"/>
      <c r="N7" s="18"/>
      <c r="O7" s="18"/>
      <c r="P7" s="19"/>
    </row>
    <row r="8">
      <c r="A8" s="10" t="s">
        <v>27</v>
      </c>
      <c r="B8" s="11">
        <v>5.0</v>
      </c>
      <c r="D8" s="12" t="s">
        <v>28</v>
      </c>
      <c r="E8" s="13">
        <v>0.0</v>
      </c>
      <c r="F8" s="14"/>
      <c r="H8" s="15" t="s">
        <v>28</v>
      </c>
      <c r="I8" s="22">
        <v>0.0</v>
      </c>
      <c r="J8" s="23"/>
      <c r="L8" s="25"/>
      <c r="M8" s="18"/>
      <c r="N8" s="18"/>
      <c r="O8" s="18"/>
      <c r="P8" s="19"/>
    </row>
    <row r="9">
      <c r="A9" s="10" t="s">
        <v>29</v>
      </c>
      <c r="B9" s="11">
        <v>5.0</v>
      </c>
      <c r="D9" s="12" t="s">
        <v>30</v>
      </c>
      <c r="E9" s="13">
        <v>0.0</v>
      </c>
      <c r="F9" s="14"/>
      <c r="H9" s="15" t="s">
        <v>30</v>
      </c>
      <c r="I9" s="22">
        <v>0.0</v>
      </c>
      <c r="J9" s="23"/>
      <c r="L9" s="17" t="s">
        <v>31</v>
      </c>
      <c r="M9" s="18"/>
      <c r="N9" s="18"/>
      <c r="O9" s="18"/>
      <c r="P9" s="19"/>
    </row>
    <row r="10">
      <c r="A10" s="10" t="s">
        <v>32</v>
      </c>
      <c r="B10" s="11">
        <v>50.0</v>
      </c>
      <c r="D10" s="12" t="s">
        <v>33</v>
      </c>
      <c r="E10" s="13">
        <v>0.0</v>
      </c>
      <c r="F10" s="14"/>
      <c r="H10" s="15" t="s">
        <v>34</v>
      </c>
      <c r="I10" s="22">
        <v>0.0</v>
      </c>
      <c r="J10" s="23"/>
      <c r="L10" s="17" t="s">
        <v>35</v>
      </c>
      <c r="M10" s="18"/>
      <c r="N10" s="18"/>
      <c r="O10" s="18"/>
      <c r="P10" s="19"/>
    </row>
    <row r="11">
      <c r="A11" s="10" t="s">
        <v>36</v>
      </c>
      <c r="B11" s="11">
        <v>50.0</v>
      </c>
      <c r="D11" s="12" t="s">
        <v>37</v>
      </c>
      <c r="E11" s="26">
        <v>1.0</v>
      </c>
      <c r="F11" s="14"/>
      <c r="H11" s="15" t="s">
        <v>37</v>
      </c>
      <c r="I11" s="27">
        <f>1-IF(B25,IFS(I4="Unarmored",B16,I4="Light",B17,I4="Heavy",B18),0)</f>
        <v>1</v>
      </c>
      <c r="J11" s="23"/>
      <c r="L11" s="24" t="s">
        <v>38</v>
      </c>
      <c r="M11" s="18"/>
      <c r="N11" s="18"/>
      <c r="O11" s="18"/>
      <c r="P11" s="19"/>
    </row>
    <row r="12">
      <c r="A12" s="10" t="s">
        <v>39</v>
      </c>
      <c r="B12" s="11">
        <v>75.0</v>
      </c>
      <c r="D12" s="12" t="s">
        <v>40</v>
      </c>
      <c r="E12" s="26">
        <v>0.0</v>
      </c>
      <c r="F12" s="14"/>
      <c r="H12" s="15" t="s">
        <v>40</v>
      </c>
      <c r="I12" s="27">
        <v>0.0</v>
      </c>
      <c r="J12" s="23"/>
      <c r="L12" s="25"/>
      <c r="M12" s="18"/>
      <c r="N12" s="18"/>
      <c r="O12" s="18"/>
      <c r="P12" s="19"/>
    </row>
    <row r="13">
      <c r="A13" s="10" t="s">
        <v>41</v>
      </c>
      <c r="B13" s="11">
        <v>15.0</v>
      </c>
      <c r="L13" s="17" t="s">
        <v>42</v>
      </c>
      <c r="M13" s="18"/>
      <c r="N13" s="18"/>
      <c r="O13" s="18"/>
      <c r="P13" s="19"/>
    </row>
    <row r="14">
      <c r="A14" s="10" t="s">
        <v>44</v>
      </c>
      <c r="B14" s="28">
        <v>0.5</v>
      </c>
      <c r="D14" s="29" t="s">
        <v>45</v>
      </c>
      <c r="E14" s="29" t="s">
        <v>46</v>
      </c>
      <c r="F14" s="29" t="s">
        <v>47</v>
      </c>
      <c r="H14" s="30" t="s">
        <v>48</v>
      </c>
      <c r="I14" s="30" t="s">
        <v>46</v>
      </c>
      <c r="J14" s="30" t="s">
        <v>47</v>
      </c>
      <c r="L14" s="31" t="s">
        <v>50</v>
      </c>
      <c r="M14" s="32"/>
      <c r="N14" s="32"/>
      <c r="O14" s="32"/>
      <c r="P14" s="33"/>
    </row>
    <row r="15">
      <c r="A15" s="10" t="s">
        <v>51</v>
      </c>
      <c r="B15" s="34">
        <v>5.0</v>
      </c>
      <c r="D15" s="35" t="s">
        <v>52</v>
      </c>
      <c r="E15" s="36"/>
      <c r="F15" s="36">
        <f>SUM(F3+E5+E10)+IF(B21,B8)</f>
        <v>82</v>
      </c>
      <c r="H15" s="37" t="s">
        <v>53</v>
      </c>
      <c r="I15" s="38"/>
      <c r="J15" s="38">
        <f>J3+I5+I10+B9</f>
        <v>7</v>
      </c>
    </row>
    <row r="16">
      <c r="A16" s="10" t="s">
        <v>54</v>
      </c>
      <c r="B16" s="28">
        <v>0.12</v>
      </c>
      <c r="D16" s="35" t="s">
        <v>55</v>
      </c>
      <c r="E16" s="39">
        <f>E8-E9</f>
        <v>0</v>
      </c>
      <c r="F16" s="36">
        <f t="shared" ref="F16:F17" si="1">F15+E16</f>
        <v>82</v>
      </c>
      <c r="H16" s="37" t="s">
        <v>37</v>
      </c>
      <c r="I16" s="38"/>
      <c r="J16" s="38">
        <f>J15*I11</f>
        <v>7</v>
      </c>
    </row>
    <row r="17">
      <c r="A17" s="10" t="s">
        <v>56</v>
      </c>
      <c r="B17" s="28">
        <v>0.25</v>
      </c>
      <c r="D17" s="35" t="s">
        <v>57</v>
      </c>
      <c r="E17" s="39">
        <f>IF(B22,-1*(F16/2),0)</f>
        <v>0</v>
      </c>
      <c r="F17" s="36">
        <f t="shared" si="1"/>
        <v>82</v>
      </c>
      <c r="H17" s="37" t="s">
        <v>58</v>
      </c>
      <c r="I17" s="38">
        <f>MIN(B11,(J16*I12)+I6-I7+I8-I9)</f>
        <v>0</v>
      </c>
      <c r="J17" s="38">
        <f>J16+I17</f>
        <v>7</v>
      </c>
    </row>
    <row r="18">
      <c r="A18" s="10" t="s">
        <v>59</v>
      </c>
      <c r="B18" s="28">
        <v>0.37</v>
      </c>
      <c r="D18" s="35" t="s">
        <v>37</v>
      </c>
      <c r="E18" s="36"/>
      <c r="F18" s="36">
        <f>F17*E11</f>
        <v>82</v>
      </c>
    </row>
    <row r="19">
      <c r="D19" s="35" t="s">
        <v>60</v>
      </c>
      <c r="E19" s="40">
        <f>MIN(B10,(F18*E12)+E6-E7)-IF(B24,B13*B27,0)</f>
        <v>0</v>
      </c>
      <c r="F19" s="36">
        <f>F18+E19</f>
        <v>82</v>
      </c>
      <c r="H19" s="41" t="s">
        <v>61</v>
      </c>
      <c r="I19" s="41" t="s">
        <v>62</v>
      </c>
      <c r="J19" s="41" t="s">
        <v>63</v>
      </c>
      <c r="K19" s="41" t="s">
        <v>64</v>
      </c>
      <c r="L19" s="41" t="s">
        <v>65</v>
      </c>
      <c r="M19" s="41" t="s">
        <v>66</v>
      </c>
      <c r="N19" s="41" t="s">
        <v>67</v>
      </c>
    </row>
    <row r="20">
      <c r="A20" s="6" t="s">
        <v>68</v>
      </c>
      <c r="B20" s="42"/>
      <c r="D20" s="29" t="s">
        <v>69</v>
      </c>
      <c r="E20" s="29" t="s">
        <v>46</v>
      </c>
      <c r="F20" s="29" t="s">
        <v>47</v>
      </c>
      <c r="H20" s="43" t="s">
        <v>70</v>
      </c>
      <c r="I20" s="44">
        <f>1-((1-MIN(1,F27/100))^B26)</f>
        <v>0.75</v>
      </c>
      <c r="J20" s="44">
        <f>1-((1-MIN(1,F27/100))^(B26*2))</f>
        <v>0.9375</v>
      </c>
      <c r="K20" s="45">
        <f>IF(B26&gt;1,1-BINOMDIST((B26/2)-1,B26,MIN(1,F27/100),TRUE),I20)</f>
        <v>0.75</v>
      </c>
      <c r="L20" s="45">
        <f>IF(B26&gt;1,(1-BINOMDIST((B26/2)-1,B26*2,MIN(1,F27/100),TRUE)),J20)</f>
        <v>0.9375</v>
      </c>
      <c r="M20" s="45">
        <f>(F27/100)^(B26)</f>
        <v>0.75</v>
      </c>
      <c r="N20" s="45">
        <f>(1-((1-MIN(1,F27/100))^2))^B26</f>
        <v>0.9375</v>
      </c>
    </row>
    <row r="21">
      <c r="A21" s="15" t="s">
        <v>71</v>
      </c>
      <c r="B21" s="22" t="b">
        <v>0</v>
      </c>
      <c r="D21" s="35" t="s">
        <v>72</v>
      </c>
      <c r="E21" s="40">
        <f>MIN(B10-E19,B5)</f>
        <v>15</v>
      </c>
      <c r="F21" s="36">
        <f>F19+E21</f>
        <v>97</v>
      </c>
      <c r="H21" s="43" t="s">
        <v>73</v>
      </c>
      <c r="I21" s="44">
        <f>1-((1-MIN(1,F29/100))^B26)</f>
        <v>0.9</v>
      </c>
      <c r="J21" s="44">
        <f>1-((1-MIN(1,F29/100))^(B26*2))</f>
        <v>0.99</v>
      </c>
      <c r="K21" s="45">
        <f>IF(B26&gt;1,1-BINOMDIST((B26/2)-1,B26,MIN(1,F29/100),TRUE),I21)</f>
        <v>0.9</v>
      </c>
      <c r="L21" s="45">
        <f>IF(B26&gt;1,(1-BINOMDIST((B26/2)-1,B26*2,MIN(1,F29/100),TRUE)),J21)</f>
        <v>0.99</v>
      </c>
      <c r="M21" s="45">
        <f>(F29/100)^(B26)</f>
        <v>0.9</v>
      </c>
      <c r="N21" s="45">
        <f>(1-((1-MIN(1,F29/100))^2))^B26</f>
        <v>0.99</v>
      </c>
    </row>
    <row r="22">
      <c r="A22" s="15" t="s">
        <v>57</v>
      </c>
      <c r="B22" s="22" t="b">
        <v>0</v>
      </c>
      <c r="D22" s="35" t="s">
        <v>74</v>
      </c>
      <c r="E22" s="40">
        <f>(1*B14)*(F4+B3)</f>
        <v>2.75</v>
      </c>
      <c r="F22" s="36">
        <f>E22+F19</f>
        <v>84.75</v>
      </c>
      <c r="H22" s="43" t="s">
        <v>75</v>
      </c>
      <c r="I22" s="44">
        <f>1-((1-MIN(1,F31/100))^(B26*1))</f>
        <v>0.7775</v>
      </c>
      <c r="J22" s="44">
        <f>1-((1-MIN(1,F31/100))^(B26*2))</f>
        <v>0.95049375</v>
      </c>
      <c r="K22" s="45">
        <f>IF(B26&gt;1,1-BINOMDIST((B26/2)-1,B26,MIN(1,F31/100),TRUE),I22)</f>
        <v>0.7775</v>
      </c>
      <c r="L22" s="45">
        <f>IF(B26&gt;1,(1-BINOMDIST((B26/2)-1,B26*2,MIN(1,F31/100),TRUE)),J22)</f>
        <v>0.95049375</v>
      </c>
      <c r="M22" s="45">
        <f>(F31/100)^(B26)</f>
        <v>0.7775</v>
      </c>
      <c r="N22" s="45">
        <f>(1-((1-MIN(1,F31/100))^2))^B26</f>
        <v>0.95049375</v>
      </c>
    </row>
    <row r="23">
      <c r="A23" s="15" t="s">
        <v>76</v>
      </c>
      <c r="B23" s="22" t="b">
        <v>0</v>
      </c>
      <c r="D23" s="35" t="s">
        <v>77</v>
      </c>
      <c r="E23" s="40">
        <f>(2*B14)*(F4+B3)</f>
        <v>5.5</v>
      </c>
      <c r="F23" s="36">
        <f>E23+F19</f>
        <v>87.5</v>
      </c>
      <c r="H23" s="43" t="s">
        <v>78</v>
      </c>
      <c r="I23" s="44">
        <f>1-((1-MIN(1,F33/100))^(B26*1))</f>
        <v>0.805</v>
      </c>
      <c r="J23" s="44">
        <f>1-((1-MIN(1,F33/100))^(B26*2))</f>
        <v>0.961975</v>
      </c>
      <c r="K23" s="46">
        <f>IF(B26&gt;1,1-BINOMDIST((B26/2)-1,B26,MIN(1,F33/100),TRUE),I23)</f>
        <v>0.805</v>
      </c>
      <c r="L23" s="45">
        <f>IF(B26&gt;1,(1-BINOMDIST((B26/2)-1,B26*2,MIN(1,F33/100),TRUE)),J23)</f>
        <v>0.961975</v>
      </c>
      <c r="M23" s="45">
        <f>MIN(1,F33/100)^(B26)</f>
        <v>0.805</v>
      </c>
      <c r="N23" s="45">
        <f>(1-((1-MIN(1,F33/100))^2))^B26</f>
        <v>0.961975</v>
      </c>
    </row>
    <row r="24">
      <c r="A24" s="15" t="s">
        <v>41</v>
      </c>
      <c r="B24" s="22" t="b">
        <v>0</v>
      </c>
    </row>
    <row r="25">
      <c r="A25" s="15" t="s">
        <v>79</v>
      </c>
      <c r="B25" s="22" t="b">
        <v>0</v>
      </c>
      <c r="D25" s="47" t="s">
        <v>80</v>
      </c>
      <c r="E25" s="47" t="s">
        <v>46</v>
      </c>
      <c r="F25" s="47" t="s">
        <v>81</v>
      </c>
    </row>
    <row r="26">
      <c r="A26" s="15" t="s">
        <v>82</v>
      </c>
      <c r="B26" s="15">
        <v>1.0</v>
      </c>
      <c r="D26" s="48" t="s">
        <v>83</v>
      </c>
      <c r="E26" s="49"/>
      <c r="F26" s="49">
        <f>F19-J17</f>
        <v>75</v>
      </c>
    </row>
    <row r="27">
      <c r="A27" s="15" t="s">
        <v>84</v>
      </c>
      <c r="B27" s="50">
        <v>0.48</v>
      </c>
      <c r="D27" s="48" t="s">
        <v>85</v>
      </c>
      <c r="E27" s="49"/>
      <c r="F27" s="51">
        <f>MAX(B15,MIN(F26,IF(B23,B12,F26)))</f>
        <v>75</v>
      </c>
    </row>
    <row r="28">
      <c r="D28" s="48" t="s">
        <v>86</v>
      </c>
      <c r="E28" s="49"/>
      <c r="F28" s="49">
        <f>F21-J17</f>
        <v>90</v>
      </c>
    </row>
    <row r="29">
      <c r="D29" s="48" t="s">
        <v>87</v>
      </c>
      <c r="E29" s="49"/>
      <c r="F29" s="51">
        <f>MAX(B15,MIN(F28,IF(B23,B12,F28)))</f>
        <v>90</v>
      </c>
    </row>
    <row r="30">
      <c r="D30" s="48" t="s">
        <v>88</v>
      </c>
      <c r="E30" s="49"/>
      <c r="F30" s="49">
        <f>F22-J17</f>
        <v>77.75</v>
      </c>
      <c r="H30" s="52"/>
      <c r="I30" s="52"/>
      <c r="J30" s="52"/>
    </row>
    <row r="31">
      <c r="D31" s="48" t="s">
        <v>89</v>
      </c>
      <c r="E31" s="49"/>
      <c r="F31" s="51">
        <f>MAX(B15,MIN(F30,IF(B23,B12,F30)))</f>
        <v>77.75</v>
      </c>
      <c r="H31" s="52"/>
      <c r="I31" s="52"/>
      <c r="J31" s="52"/>
    </row>
    <row r="32">
      <c r="D32" s="48" t="s">
        <v>90</v>
      </c>
      <c r="E32" s="49"/>
      <c r="F32" s="49">
        <f>F23-J17</f>
        <v>80.5</v>
      </c>
      <c r="H32" s="52"/>
      <c r="I32" s="52"/>
      <c r="J32" s="52"/>
    </row>
    <row r="33">
      <c r="D33" s="48" t="s">
        <v>91</v>
      </c>
      <c r="E33" s="49"/>
      <c r="F33" s="51">
        <f>MAX(B15,MIN(F32,IF(B23,B12,F32)))</f>
        <v>80.5</v>
      </c>
      <c r="H33" s="52"/>
      <c r="I33" s="52"/>
      <c r="J33" s="52"/>
    </row>
  </sheetData>
  <dataValidations>
    <dataValidation type="list" allowBlank="1" showErrorMessage="1" sqref="I4">
      <formula1>"Unarmored,Light,Heavy"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8.38"/>
    <col customWidth="1" min="4" max="4" width="18.5"/>
    <col customWidth="1" min="5" max="5" width="11.5"/>
    <col customWidth="1" min="8" max="8" width="18.63"/>
  </cols>
  <sheetData>
    <row r="2">
      <c r="A2" s="1" t="s">
        <v>0</v>
      </c>
      <c r="B2" s="2"/>
      <c r="D2" s="3" t="s">
        <v>1</v>
      </c>
      <c r="E2" s="4" t="s">
        <v>2</v>
      </c>
      <c r="F2" s="5" t="s">
        <v>3</v>
      </c>
      <c r="H2" s="6" t="s">
        <v>4</v>
      </c>
      <c r="I2" s="6" t="s">
        <v>2</v>
      </c>
      <c r="J2" s="6" t="s">
        <v>3</v>
      </c>
      <c r="L2" s="7" t="s">
        <v>5</v>
      </c>
      <c r="M2" s="8"/>
      <c r="N2" s="8"/>
      <c r="O2" s="8"/>
      <c r="P2" s="9"/>
    </row>
    <row r="3">
      <c r="A3" s="10" t="s">
        <v>6</v>
      </c>
      <c r="B3" s="11">
        <v>5.0</v>
      </c>
      <c r="D3" s="12" t="s">
        <v>7</v>
      </c>
      <c r="E3" s="13">
        <v>55.0</v>
      </c>
      <c r="F3" s="14">
        <f>E3*B6</f>
        <v>110</v>
      </c>
      <c r="H3" s="15" t="s">
        <v>8</v>
      </c>
      <c r="I3" s="15">
        <v>60.0</v>
      </c>
      <c r="J3" s="16">
        <f>I3*B7</f>
        <v>120</v>
      </c>
      <c r="L3" s="17" t="s">
        <v>9</v>
      </c>
      <c r="M3" s="18"/>
      <c r="N3" s="18"/>
      <c r="O3" s="18"/>
      <c r="P3" s="19"/>
    </row>
    <row r="4">
      <c r="A4" s="20" t="s">
        <v>10</v>
      </c>
      <c r="B4" s="21">
        <v>0.5</v>
      </c>
      <c r="D4" s="12" t="s">
        <v>11</v>
      </c>
      <c r="E4" s="13">
        <v>10.0</v>
      </c>
      <c r="F4" s="14">
        <f>E4*B4</f>
        <v>5</v>
      </c>
      <c r="H4" s="15" t="s">
        <v>12</v>
      </c>
      <c r="I4" s="15" t="s">
        <v>13</v>
      </c>
      <c r="J4" s="16"/>
      <c r="L4" s="17" t="s">
        <v>14</v>
      </c>
      <c r="M4" s="18"/>
      <c r="N4" s="18"/>
      <c r="O4" s="18"/>
      <c r="P4" s="19"/>
    </row>
    <row r="5">
      <c r="A5" s="20" t="s">
        <v>15</v>
      </c>
      <c r="B5" s="21">
        <v>15.0</v>
      </c>
      <c r="D5" s="12" t="s">
        <v>16</v>
      </c>
      <c r="E5" s="13">
        <v>95.0</v>
      </c>
      <c r="F5" s="14"/>
      <c r="H5" s="15" t="s">
        <v>17</v>
      </c>
      <c r="I5" s="22">
        <v>20.0</v>
      </c>
      <c r="J5" s="23"/>
      <c r="L5" s="17" t="s">
        <v>18</v>
      </c>
      <c r="M5" s="18"/>
      <c r="N5" s="18"/>
      <c r="O5" s="18"/>
      <c r="P5" s="19"/>
    </row>
    <row r="6">
      <c r="A6" s="20" t="s">
        <v>19</v>
      </c>
      <c r="B6" s="21">
        <v>2.0</v>
      </c>
      <c r="D6" s="12" t="s">
        <v>20</v>
      </c>
      <c r="E6" s="13">
        <v>15.0</v>
      </c>
      <c r="F6" s="14"/>
      <c r="H6" s="15" t="s">
        <v>21</v>
      </c>
      <c r="I6" s="22">
        <v>30.0</v>
      </c>
      <c r="J6" s="23"/>
      <c r="L6" s="17" t="s">
        <v>22</v>
      </c>
      <c r="M6" s="18"/>
      <c r="N6" s="18"/>
      <c r="O6" s="18"/>
      <c r="P6" s="19"/>
    </row>
    <row r="7">
      <c r="A7" s="20" t="s">
        <v>23</v>
      </c>
      <c r="B7" s="21">
        <v>2.0</v>
      </c>
      <c r="D7" s="12" t="s">
        <v>24</v>
      </c>
      <c r="E7" s="13">
        <v>0.0</v>
      </c>
      <c r="F7" s="14"/>
      <c r="H7" s="15" t="s">
        <v>25</v>
      </c>
      <c r="I7" s="22">
        <v>15.0</v>
      </c>
      <c r="J7" s="23"/>
      <c r="L7" s="24" t="s">
        <v>26</v>
      </c>
      <c r="M7" s="18"/>
      <c r="N7" s="18"/>
      <c r="O7" s="18"/>
      <c r="P7" s="19"/>
    </row>
    <row r="8">
      <c r="A8" s="10" t="s">
        <v>27</v>
      </c>
      <c r="B8" s="11">
        <v>5.0</v>
      </c>
      <c r="D8" s="12" t="s">
        <v>28</v>
      </c>
      <c r="E8" s="13">
        <v>0.0</v>
      </c>
      <c r="F8" s="14"/>
      <c r="H8" s="15" t="s">
        <v>28</v>
      </c>
      <c r="I8" s="22">
        <v>0.0</v>
      </c>
      <c r="J8" s="23"/>
      <c r="L8" s="25"/>
      <c r="M8" s="18"/>
      <c r="N8" s="18"/>
      <c r="O8" s="18"/>
      <c r="P8" s="19"/>
    </row>
    <row r="9">
      <c r="A9" s="10" t="s">
        <v>29</v>
      </c>
      <c r="B9" s="11">
        <v>5.0</v>
      </c>
      <c r="D9" s="12" t="s">
        <v>30</v>
      </c>
      <c r="E9" s="13">
        <v>0.0</v>
      </c>
      <c r="F9" s="14"/>
      <c r="H9" s="15" t="s">
        <v>30</v>
      </c>
      <c r="I9" s="22">
        <v>0.0</v>
      </c>
      <c r="J9" s="23"/>
      <c r="L9" s="17" t="s">
        <v>31</v>
      </c>
      <c r="M9" s="18"/>
      <c r="N9" s="18"/>
      <c r="O9" s="18"/>
      <c r="P9" s="19"/>
    </row>
    <row r="10">
      <c r="A10" s="10" t="s">
        <v>32</v>
      </c>
      <c r="B10" s="11">
        <v>50.0</v>
      </c>
      <c r="D10" s="12" t="s">
        <v>33</v>
      </c>
      <c r="E10" s="13">
        <v>0.0</v>
      </c>
      <c r="F10" s="14"/>
      <c r="H10" s="15" t="s">
        <v>34</v>
      </c>
      <c r="I10" s="22">
        <v>0.0</v>
      </c>
      <c r="J10" s="23"/>
      <c r="L10" s="17" t="s">
        <v>35</v>
      </c>
      <c r="M10" s="18"/>
      <c r="N10" s="18"/>
      <c r="O10" s="18"/>
      <c r="P10" s="19"/>
    </row>
    <row r="11">
      <c r="A11" s="10" t="s">
        <v>36</v>
      </c>
      <c r="B11" s="11">
        <v>50.0</v>
      </c>
      <c r="D11" s="12" t="s">
        <v>37</v>
      </c>
      <c r="E11" s="26">
        <v>1.0</v>
      </c>
      <c r="F11" s="14"/>
      <c r="H11" s="15" t="s">
        <v>37</v>
      </c>
      <c r="I11" s="27">
        <f>1-IF(B25,IFS(I4="Unarmored",B16,I4="Light",B17,I4="Heavy",B18),0)</f>
        <v>1</v>
      </c>
      <c r="J11" s="23"/>
      <c r="L11" s="24" t="s">
        <v>38</v>
      </c>
      <c r="M11" s="18"/>
      <c r="N11" s="18"/>
      <c r="O11" s="18"/>
      <c r="P11" s="19"/>
    </row>
    <row r="12">
      <c r="A12" s="10" t="s">
        <v>39</v>
      </c>
      <c r="B12" s="11">
        <v>75.0</v>
      </c>
      <c r="D12" s="12" t="s">
        <v>40</v>
      </c>
      <c r="E12" s="26">
        <v>0.0</v>
      </c>
      <c r="F12" s="14"/>
      <c r="H12" s="15" t="s">
        <v>40</v>
      </c>
      <c r="I12" s="27">
        <v>0.0</v>
      </c>
      <c r="J12" s="23"/>
      <c r="L12" s="25"/>
      <c r="M12" s="18"/>
      <c r="N12" s="18"/>
      <c r="O12" s="18"/>
      <c r="P12" s="19"/>
    </row>
    <row r="13">
      <c r="A13" s="10" t="s">
        <v>41</v>
      </c>
      <c r="B13" s="11">
        <v>15.0</v>
      </c>
      <c r="L13" s="17" t="s">
        <v>43</v>
      </c>
      <c r="M13" s="18"/>
      <c r="N13" s="18"/>
      <c r="O13" s="18"/>
      <c r="P13" s="19"/>
    </row>
    <row r="14">
      <c r="A14" s="10" t="s">
        <v>44</v>
      </c>
      <c r="B14" s="28">
        <v>0.5</v>
      </c>
      <c r="D14" s="29" t="s">
        <v>45</v>
      </c>
      <c r="E14" s="29" t="s">
        <v>46</v>
      </c>
      <c r="F14" s="29" t="s">
        <v>47</v>
      </c>
      <c r="H14" s="30" t="s">
        <v>48</v>
      </c>
      <c r="I14" s="30" t="s">
        <v>46</v>
      </c>
      <c r="J14" s="30" t="s">
        <v>47</v>
      </c>
      <c r="L14" s="31" t="s">
        <v>49</v>
      </c>
      <c r="M14" s="32"/>
      <c r="N14" s="32"/>
      <c r="O14" s="32"/>
      <c r="P14" s="33"/>
    </row>
    <row r="15">
      <c r="A15" s="10" t="s">
        <v>51</v>
      </c>
      <c r="B15" s="34">
        <v>5.0</v>
      </c>
      <c r="D15" s="35" t="s">
        <v>52</v>
      </c>
      <c r="E15" s="36"/>
      <c r="F15" s="36">
        <f>SUM(F3+E5+E10)+IF(B21,B8)</f>
        <v>205</v>
      </c>
      <c r="H15" s="37" t="s">
        <v>53</v>
      </c>
      <c r="I15" s="38"/>
      <c r="J15" s="38">
        <f>J3+I5+I10+B9</f>
        <v>145</v>
      </c>
    </row>
    <row r="16">
      <c r="A16" s="10" t="s">
        <v>54</v>
      </c>
      <c r="B16" s="28">
        <v>0.12</v>
      </c>
      <c r="D16" s="35" t="s">
        <v>55</v>
      </c>
      <c r="E16" s="39">
        <f>E8-E9</f>
        <v>0</v>
      </c>
      <c r="F16" s="36">
        <f t="shared" ref="F16:F17" si="1">F15+E16</f>
        <v>205</v>
      </c>
      <c r="H16" s="37" t="s">
        <v>37</v>
      </c>
      <c r="I16" s="38"/>
      <c r="J16" s="38">
        <f>J15*I11</f>
        <v>145</v>
      </c>
    </row>
    <row r="17">
      <c r="A17" s="10" t="s">
        <v>56</v>
      </c>
      <c r="B17" s="28">
        <v>0.25</v>
      </c>
      <c r="D17" s="35" t="s">
        <v>57</v>
      </c>
      <c r="E17" s="39">
        <f>IF(B22,-1*(F16/2),0)</f>
        <v>0</v>
      </c>
      <c r="F17" s="36">
        <f t="shared" si="1"/>
        <v>205</v>
      </c>
      <c r="H17" s="37" t="s">
        <v>58</v>
      </c>
      <c r="I17" s="38">
        <f>MIN(B11,(J16*I12)+I6-I7+I8-I9)</f>
        <v>15</v>
      </c>
      <c r="J17" s="38">
        <f>J16+I17</f>
        <v>160</v>
      </c>
    </row>
    <row r="18">
      <c r="A18" s="10" t="s">
        <v>59</v>
      </c>
      <c r="B18" s="28">
        <v>0.37</v>
      </c>
      <c r="D18" s="35" t="s">
        <v>37</v>
      </c>
      <c r="E18" s="36"/>
      <c r="F18" s="36">
        <f>F17*E11</f>
        <v>205</v>
      </c>
    </row>
    <row r="19">
      <c r="D19" s="35" t="s">
        <v>60</v>
      </c>
      <c r="E19" s="40">
        <f>MIN(B10,(F18*E12)+E6-E7)-IF(B24,B13*B27,0)</f>
        <v>15</v>
      </c>
      <c r="F19" s="36">
        <f>F18+E19</f>
        <v>220</v>
      </c>
      <c r="H19" s="41" t="s">
        <v>61</v>
      </c>
      <c r="I19" s="41" t="s">
        <v>62</v>
      </c>
      <c r="J19" s="41" t="s">
        <v>63</v>
      </c>
      <c r="K19" s="41" t="s">
        <v>64</v>
      </c>
      <c r="L19" s="41" t="s">
        <v>65</v>
      </c>
      <c r="M19" s="41" t="s">
        <v>66</v>
      </c>
      <c r="N19" s="41" t="s">
        <v>67</v>
      </c>
    </row>
    <row r="20">
      <c r="A20" s="6" t="s">
        <v>68</v>
      </c>
      <c r="B20" s="42"/>
      <c r="D20" s="29" t="s">
        <v>69</v>
      </c>
      <c r="E20" s="29" t="s">
        <v>46</v>
      </c>
      <c r="F20" s="29" t="s">
        <v>47</v>
      </c>
      <c r="H20" s="43" t="s">
        <v>70</v>
      </c>
      <c r="I20" s="44">
        <f>1-((1-MIN(1,F27/100))^B26)</f>
        <v>0.6</v>
      </c>
      <c r="J20" s="44">
        <f>1-((1-MIN(1,F27/100))^(B26*2))</f>
        <v>0.84</v>
      </c>
      <c r="K20" s="45">
        <f>IF(B26&gt;1,1-BINOMDIST((B26/2)-1,B26,MIN(1,F27/100),TRUE),I20)</f>
        <v>0.6</v>
      </c>
      <c r="L20" s="45">
        <f>IF(B26&gt;1,(1-BINOMDIST((B26/2)-1,B26*2,MIN(1,F27/100),TRUE)),J20)</f>
        <v>0.84</v>
      </c>
      <c r="M20" s="45">
        <f>(F27/100)^(B26)</f>
        <v>0.6</v>
      </c>
      <c r="N20" s="45">
        <f>(1-((1-MIN(1,F27/100))^2))^B26</f>
        <v>0.84</v>
      </c>
    </row>
    <row r="21">
      <c r="A21" s="15" t="s">
        <v>71</v>
      </c>
      <c r="B21" s="22" t="b">
        <v>0</v>
      </c>
      <c r="D21" s="35" t="s">
        <v>72</v>
      </c>
      <c r="E21" s="40">
        <f>MIN(B10-E19,B5)</f>
        <v>15</v>
      </c>
      <c r="F21" s="36">
        <f>F19+E21</f>
        <v>235</v>
      </c>
      <c r="H21" s="43" t="s">
        <v>73</v>
      </c>
      <c r="I21" s="44">
        <f>1-((1-MIN(1,F29/100))^B26)</f>
        <v>0.75</v>
      </c>
      <c r="J21" s="44">
        <f>1-((1-MIN(1,F29/100))^(B26*2))</f>
        <v>0.9375</v>
      </c>
      <c r="K21" s="45">
        <f>IF(B26&gt;1,1-BINOMDIST((B26/2)-1,B26,MIN(1,F29/100),TRUE),I21)</f>
        <v>0.75</v>
      </c>
      <c r="L21" s="45">
        <f>IF(B26&gt;1,(1-BINOMDIST((B26/2)-1,B26*2,MIN(1,F29/100),TRUE)),J21)</f>
        <v>0.9375</v>
      </c>
      <c r="M21" s="45">
        <f>(F29/100)^(B26)</f>
        <v>0.75</v>
      </c>
      <c r="N21" s="45">
        <f>(1-((1-MIN(1,F29/100))^2))^B26</f>
        <v>0.9375</v>
      </c>
    </row>
    <row r="22">
      <c r="A22" s="15" t="s">
        <v>57</v>
      </c>
      <c r="B22" s="22" t="b">
        <v>0</v>
      </c>
      <c r="D22" s="35" t="s">
        <v>74</v>
      </c>
      <c r="E22" s="40">
        <f>(1*B14)*(F4+B3)</f>
        <v>5</v>
      </c>
      <c r="F22" s="36">
        <f>E22+F19</f>
        <v>225</v>
      </c>
      <c r="H22" s="43" t="s">
        <v>75</v>
      </c>
      <c r="I22" s="44">
        <f>1-((1-MIN(1,F31/100))^(B26*1))</f>
        <v>0.65</v>
      </c>
      <c r="J22" s="44">
        <f>1-((1-MIN(1,F31/100))^(B26*2))</f>
        <v>0.8775</v>
      </c>
      <c r="K22" s="45">
        <f>IF(B26&gt;1,1-BINOMDIST((B26/2)-1,B26,MIN(1,F31/100),TRUE),I22)</f>
        <v>0.65</v>
      </c>
      <c r="L22" s="45">
        <f>IF(B26&gt;1,(1-BINOMDIST((B26/2)-1,B26*2,MIN(1,F31/100),TRUE)),J22)</f>
        <v>0.8775</v>
      </c>
      <c r="M22" s="45">
        <f>(F31/100)^(B26)</f>
        <v>0.65</v>
      </c>
      <c r="N22" s="45">
        <f>(1-((1-MIN(1,F31/100))^2))^B26</f>
        <v>0.8775</v>
      </c>
    </row>
    <row r="23">
      <c r="A23" s="15" t="s">
        <v>76</v>
      </c>
      <c r="B23" s="22" t="b">
        <v>0</v>
      </c>
      <c r="D23" s="35" t="s">
        <v>77</v>
      </c>
      <c r="E23" s="40">
        <f>(2*B14)*(F4+B3)</f>
        <v>10</v>
      </c>
      <c r="F23" s="36">
        <f>E23+F19</f>
        <v>230</v>
      </c>
      <c r="H23" s="43" t="s">
        <v>78</v>
      </c>
      <c r="I23" s="44">
        <f>1-((1-MIN(1,F33/100))^(B26*1))</f>
        <v>0.7</v>
      </c>
      <c r="J23" s="44">
        <f>1-((1-MIN(1,F33/100))^(B26*2))</f>
        <v>0.91</v>
      </c>
      <c r="K23" s="46">
        <f>IF(B26&gt;1,1-BINOMDIST((B26/2)-1,B26,MIN(1,F33/100),TRUE),I23)</f>
        <v>0.7</v>
      </c>
      <c r="L23" s="45">
        <f>IF(B26&gt;1,(1-BINOMDIST((B26/2)-1,B26*2,MIN(1,F33/100),TRUE)),J23)</f>
        <v>0.91</v>
      </c>
      <c r="M23" s="45">
        <f>MIN(1,F33/100)^(B26)</f>
        <v>0.7</v>
      </c>
      <c r="N23" s="45">
        <f>(1-((1-MIN(1,F33/100))^2))^B26</f>
        <v>0.91</v>
      </c>
    </row>
    <row r="24">
      <c r="A24" s="15" t="s">
        <v>41</v>
      </c>
      <c r="B24" s="22" t="b">
        <v>0</v>
      </c>
    </row>
    <row r="25">
      <c r="A25" s="15" t="s">
        <v>79</v>
      </c>
      <c r="B25" s="22" t="b">
        <v>0</v>
      </c>
      <c r="D25" s="47" t="s">
        <v>80</v>
      </c>
      <c r="E25" s="47" t="s">
        <v>46</v>
      </c>
      <c r="F25" s="47" t="s">
        <v>81</v>
      </c>
    </row>
    <row r="26">
      <c r="A26" s="15" t="s">
        <v>82</v>
      </c>
      <c r="B26" s="15">
        <v>1.0</v>
      </c>
      <c r="D26" s="48" t="s">
        <v>83</v>
      </c>
      <c r="E26" s="49"/>
      <c r="F26" s="49">
        <f>F19-J17</f>
        <v>60</v>
      </c>
    </row>
    <row r="27">
      <c r="A27" s="15" t="s">
        <v>84</v>
      </c>
      <c r="B27" s="50">
        <v>0.48</v>
      </c>
      <c r="D27" s="48" t="s">
        <v>85</v>
      </c>
      <c r="E27" s="49"/>
      <c r="F27" s="51">
        <f>MAX(B15,MIN(F26,IF(B23,B12,F26)))</f>
        <v>60</v>
      </c>
    </row>
    <row r="28">
      <c r="D28" s="48" t="s">
        <v>86</v>
      </c>
      <c r="E28" s="49"/>
      <c r="F28" s="49">
        <f>F21-J17</f>
        <v>75</v>
      </c>
    </row>
    <row r="29">
      <c r="D29" s="48" t="s">
        <v>87</v>
      </c>
      <c r="E29" s="49"/>
      <c r="F29" s="51">
        <f>MAX(B15,MIN(F28,IF(B23,B12,F28)))</f>
        <v>75</v>
      </c>
    </row>
    <row r="30">
      <c r="D30" s="48" t="s">
        <v>88</v>
      </c>
      <c r="E30" s="49"/>
      <c r="F30" s="49">
        <f>F22-J17</f>
        <v>65</v>
      </c>
      <c r="H30" s="52"/>
      <c r="I30" s="52"/>
      <c r="J30" s="52"/>
    </row>
    <row r="31">
      <c r="D31" s="48" t="s">
        <v>89</v>
      </c>
      <c r="E31" s="49"/>
      <c r="F31" s="51">
        <f>MAX(B15,MIN(F30,IF(B23,B12,F30)))</f>
        <v>65</v>
      </c>
      <c r="H31" s="52"/>
      <c r="I31" s="52"/>
      <c r="J31" s="52"/>
    </row>
    <row r="32">
      <c r="D32" s="48" t="s">
        <v>90</v>
      </c>
      <c r="E32" s="49"/>
      <c r="F32" s="49">
        <f>F23-J17</f>
        <v>70</v>
      </c>
      <c r="H32" s="52"/>
      <c r="I32" s="52"/>
      <c r="J32" s="52"/>
    </row>
    <row r="33">
      <c r="D33" s="48" t="s">
        <v>91</v>
      </c>
      <c r="E33" s="49"/>
      <c r="F33" s="51">
        <f>MAX(B15,MIN(F32,IF(B23,B12,F32)))</f>
        <v>70</v>
      </c>
      <c r="H33" s="52"/>
      <c r="I33" s="52"/>
      <c r="J33" s="52"/>
    </row>
  </sheetData>
  <dataValidations>
    <dataValidation type="list" allowBlank="1" showErrorMessage="1" sqref="I4">
      <formula1>"Unarmored,Light,Heavy"</formula1>
    </dataValidation>
  </dataValidations>
  <drawing r:id="rId2"/>
  <legacyDrawing r:id="rId3"/>
</worksheet>
</file>